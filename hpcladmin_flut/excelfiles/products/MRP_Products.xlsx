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appy Shop\PoS\Feeded Data\"/>
    </mc:Choice>
  </mc:AlternateContent>
  <xr:revisionPtr revIDLastSave="0" documentId="8_{651EF300-569E-4EB4-BFD3-12C2873D0B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2" l="1"/>
  <c r="J37" i="2"/>
  <c r="J9" i="2"/>
  <c r="K6" i="2"/>
  <c r="N6" i="2" s="1"/>
  <c r="L6" i="2" s="1"/>
  <c r="J4" i="2"/>
  <c r="K29" i="2"/>
  <c r="N29" i="2" s="1"/>
  <c r="L29" i="2" s="1"/>
  <c r="K26" i="2"/>
  <c r="N26" i="2" s="1"/>
  <c r="L26" i="2" s="1"/>
  <c r="J21" i="2"/>
  <c r="K16" i="2"/>
  <c r="N16" i="2" s="1"/>
  <c r="L16" i="2" s="1"/>
  <c r="K14" i="2"/>
  <c r="N14" i="2" s="1"/>
  <c r="L14" i="2" s="1"/>
  <c r="K15" i="2"/>
  <c r="N15" i="2" s="1"/>
  <c r="L15" i="2" s="1"/>
  <c r="I19" i="2"/>
  <c r="K20" i="2"/>
  <c r="N20" i="2" s="1"/>
  <c r="L20" i="2" s="1"/>
  <c r="J22" i="2"/>
  <c r="J2" i="2"/>
  <c r="K36" i="2"/>
  <c r="N36" i="2" s="1"/>
  <c r="L36" i="2" s="1"/>
  <c r="K39" i="2"/>
  <c r="N39" i="2" s="1"/>
  <c r="L39" i="2" s="1"/>
  <c r="K28" i="2"/>
  <c r="N28" i="2" s="1"/>
  <c r="L28" i="2" s="1"/>
  <c r="I3" i="2"/>
  <c r="K17" i="2"/>
  <c r="N17" i="2" s="1"/>
  <c r="L17" i="2" s="1"/>
  <c r="J30" i="2"/>
  <c r="K32" i="2"/>
  <c r="N32" i="2" s="1"/>
  <c r="L32" i="2" s="1"/>
  <c r="K7" i="2"/>
  <c r="N7" i="2" s="1"/>
  <c r="L7" i="2" s="1"/>
  <c r="K8" i="2"/>
  <c r="N8" i="2" s="1"/>
  <c r="L8" i="2" s="1"/>
  <c r="K18" i="2"/>
  <c r="N18" i="2" s="1"/>
  <c r="L18" i="2" s="1"/>
  <c r="K34" i="2"/>
  <c r="N34" i="2" s="1"/>
  <c r="L34" i="2" s="1"/>
  <c r="K35" i="2"/>
  <c r="N35" i="2" s="1"/>
  <c r="L35" i="2" s="1"/>
  <c r="K13" i="2"/>
  <c r="N13" i="2" s="1"/>
  <c r="L13" i="2" s="1"/>
  <c r="K2" i="2"/>
  <c r="N2" i="2" s="1"/>
  <c r="L2" i="2" s="1"/>
  <c r="K19" i="2"/>
  <c r="N19" i="2" s="1"/>
  <c r="L19" i="2" s="1"/>
  <c r="J34" i="2"/>
  <c r="J11" i="2"/>
  <c r="I11" i="2"/>
  <c r="I7" i="2"/>
  <c r="J31" i="2"/>
  <c r="I31" i="2"/>
  <c r="J3" i="2"/>
  <c r="J27" i="2"/>
  <c r="I27" i="2"/>
  <c r="I2" i="2"/>
  <c r="J23" i="2"/>
  <c r="I23" i="2"/>
  <c r="J19" i="2"/>
  <c r="K33" i="2"/>
  <c r="N33" i="2" s="1"/>
  <c r="L33" i="2" s="1"/>
  <c r="K12" i="2"/>
  <c r="N12" i="2" s="1"/>
  <c r="L12" i="2" s="1"/>
  <c r="K11" i="2"/>
  <c r="N11" i="2" s="1"/>
  <c r="L11" i="2" s="1"/>
  <c r="J10" i="2"/>
  <c r="K5" i="2"/>
  <c r="N5" i="2" s="1"/>
  <c r="L5" i="2" s="1"/>
  <c r="K31" i="2"/>
  <c r="N31" i="2" s="1"/>
  <c r="L31" i="2" s="1"/>
  <c r="K27" i="2"/>
  <c r="N27" i="2" s="1"/>
  <c r="L27" i="2" s="1"/>
  <c r="K25" i="2"/>
  <c r="N25" i="2" s="1"/>
  <c r="L25" i="2" s="1"/>
  <c r="K24" i="2"/>
  <c r="N24" i="2" s="1"/>
  <c r="L24" i="2" s="1"/>
  <c r="K23" i="2"/>
  <c r="N23" i="2" s="1"/>
  <c r="L23" i="2" s="1"/>
  <c r="J7" i="2" l="1"/>
  <c r="K3" i="2"/>
  <c r="N3" i="2" s="1"/>
  <c r="L3" i="2" s="1"/>
  <c r="I34" i="2"/>
  <c r="J13" i="2"/>
  <c r="I13" i="2"/>
  <c r="I14" i="2"/>
  <c r="I20" i="2"/>
  <c r="I24" i="2"/>
  <c r="I36" i="2"/>
  <c r="I39" i="2"/>
  <c r="I17" i="2"/>
  <c r="I5" i="2"/>
  <c r="I8" i="2"/>
  <c r="I12" i="2"/>
  <c r="I35" i="2"/>
  <c r="K21" i="2"/>
  <c r="N21" i="2" s="1"/>
  <c r="L21" i="2" s="1"/>
  <c r="K37" i="2"/>
  <c r="N37" i="2" s="1"/>
  <c r="L37" i="2" s="1"/>
  <c r="K4" i="2"/>
  <c r="N4" i="2" s="1"/>
  <c r="L4" i="2" s="1"/>
  <c r="K9" i="2"/>
  <c r="N9" i="2" s="1"/>
  <c r="L9" i="2" s="1"/>
  <c r="J14" i="2"/>
  <c r="J20" i="2"/>
  <c r="J24" i="2"/>
  <c r="J36" i="2"/>
  <c r="J39" i="2"/>
  <c r="J17" i="2"/>
  <c r="J5" i="2"/>
  <c r="J8" i="2"/>
  <c r="J12" i="2"/>
  <c r="J35" i="2"/>
  <c r="K22" i="2"/>
  <c r="N22" i="2" s="1"/>
  <c r="L22" i="2" s="1"/>
  <c r="K38" i="2"/>
  <c r="N38" i="2" s="1"/>
  <c r="L38" i="2" s="1"/>
  <c r="K30" i="2"/>
  <c r="N30" i="2" s="1"/>
  <c r="L30" i="2" s="1"/>
  <c r="K10" i="2"/>
  <c r="N10" i="2" s="1"/>
  <c r="L10" i="2" s="1"/>
  <c r="I15" i="2"/>
  <c r="I21" i="2"/>
  <c r="I25" i="2"/>
  <c r="I37" i="2"/>
  <c r="I28" i="2"/>
  <c r="I4" i="2"/>
  <c r="I32" i="2"/>
  <c r="I9" i="2"/>
  <c r="I18" i="2"/>
  <c r="J15" i="2"/>
  <c r="J25" i="2"/>
  <c r="J28" i="2"/>
  <c r="J32" i="2"/>
  <c r="J18" i="2"/>
  <c r="I16" i="2"/>
  <c r="I22" i="2"/>
  <c r="I26" i="2"/>
  <c r="I38" i="2"/>
  <c r="I29" i="2"/>
  <c r="I30" i="2"/>
  <c r="I6" i="2"/>
  <c r="I10" i="2"/>
  <c r="I33" i="2"/>
  <c r="J16" i="2"/>
  <c r="J26" i="2"/>
  <c r="J29" i="2"/>
  <c r="J6" i="2"/>
  <c r="J33" i="2"/>
</calcChain>
</file>

<file path=xl/sharedStrings.xml><?xml version="1.0" encoding="utf-8"?>
<sst xmlns="http://schemas.openxmlformats.org/spreadsheetml/2006/main" count="91" uniqueCount="91">
  <si>
    <t>Sr No</t>
  </si>
  <si>
    <t>Product Name</t>
  </si>
  <si>
    <t>Barcode No</t>
  </si>
  <si>
    <t>Category Id</t>
  </si>
  <si>
    <t>SubCategory Id</t>
  </si>
  <si>
    <t>Sgst Percentage</t>
  </si>
  <si>
    <t>Cgst Percentage</t>
  </si>
  <si>
    <t>Igst Percentage</t>
  </si>
  <si>
    <t>Cgst Amt</t>
  </si>
  <si>
    <t>Sgst Amt</t>
  </si>
  <si>
    <t>Igst Amt</t>
  </si>
  <si>
    <t>Purchase Price</t>
  </si>
  <si>
    <t>Without Gst Price</t>
  </si>
  <si>
    <t>Gst Amt</t>
  </si>
  <si>
    <t>Price</t>
  </si>
  <si>
    <t>HP Vaahn  Bike &amp;  Scooter Shampoo 100 ml</t>
  </si>
  <si>
    <t>HP Vaahn  Helmet Cleaner-125ml - Kit</t>
  </si>
  <si>
    <t>HP Vaahn  Chain Lubricant -150 ml</t>
  </si>
  <si>
    <t>HP Vaahn  Chain Cleaner -150ml</t>
  </si>
  <si>
    <t>HP Vaahn  Car Wax shampoo</t>
  </si>
  <si>
    <t>HP Vaahn  Glass Cleaner 250 ml</t>
  </si>
  <si>
    <t>HP Vaahn Windshield Wash 100 ml</t>
  </si>
  <si>
    <t>HP Vaahn  Tyre Shine 250 ml</t>
  </si>
  <si>
    <t>HP Vaahn Waterless wash -500 ml</t>
  </si>
  <si>
    <t>HP Vaahn  Interior cleaner</t>
  </si>
  <si>
    <t>HP Vaahn  Car Care Kit - Premium</t>
  </si>
  <si>
    <t>HP Vaahn  3-in-1 Shiner 100 ml</t>
  </si>
  <si>
    <t>HP Vaahn  All Purpose Shiner 300 ml - Aerosol</t>
  </si>
  <si>
    <t>HP Vaahn  Microfiber cloth 40*40 - Single</t>
  </si>
  <si>
    <t>HP Vaahn  Microfiber cloth 50*50 - Single</t>
  </si>
  <si>
    <t>HP Vaahn  Microfiber 40*40 - 3 pack</t>
  </si>
  <si>
    <t>HP Vaahn  Gel Airfreshner-Lemon</t>
  </si>
  <si>
    <t>HP Vaahn  40*40 -500gsm Double sided</t>
  </si>
  <si>
    <t>HP Vaahn  Scratch Remover</t>
  </si>
  <si>
    <t>HP Vaahn Rodent X</t>
  </si>
  <si>
    <t>HP Vaahn Rust Spray</t>
  </si>
  <si>
    <t>HP Vaahn Helmet Cleaner</t>
  </si>
  <si>
    <t>HP Vaahn  All Purpose Shiner 125 ml</t>
  </si>
  <si>
    <t>HP Vaahn Windhiled Wash 25ml</t>
  </si>
  <si>
    <t>HP Vaahn Battery Gel</t>
  </si>
  <si>
    <t>HP Vaahn Headlight Restorer</t>
  </si>
  <si>
    <t>HP Vaahn AC Deodiser</t>
  </si>
  <si>
    <t>HP Vaahn Multi purpose spray</t>
  </si>
  <si>
    <t>HP Vaahn Fuel injector and carbutettor cleaner</t>
  </si>
  <si>
    <t>HP Vaahn Brake parts cleaner</t>
  </si>
  <si>
    <t>HP Vaahn Throttle body cleaner</t>
  </si>
  <si>
    <t>HP Vaahn  Engine Flush-250 ml</t>
  </si>
  <si>
    <t>HP Vaahn 
All Purpose
 Cleaner 5L</t>
  </si>
  <si>
    <t>HP Vaahn 
All Purpose
 Cleaner 500ml</t>
  </si>
  <si>
    <t>HP Vaahn Helmet Cleaner 50ml</t>
  </si>
  <si>
    <t>HP Vaahn  Gel Airfreshner-Aqua</t>
  </si>
  <si>
    <t>HP Vaahn  Gel Airfreshner-Black Oudh</t>
  </si>
  <si>
    <t>HP Vaahn  Gel Airfreshner-Devine</t>
  </si>
  <si>
    <t>8719497482726</t>
  </si>
  <si>
    <t>8719497482801</t>
  </si>
  <si>
    <t>8719497482849</t>
  </si>
  <si>
    <t>8719497482856</t>
  </si>
  <si>
    <t>8719497482689</t>
  </si>
  <si>
    <t>8719497482702</t>
  </si>
  <si>
    <t>8719497482719</t>
  </si>
  <si>
    <t>8719497482733</t>
  </si>
  <si>
    <t>8719497482771</t>
  </si>
  <si>
    <t>8719497482696</t>
  </si>
  <si>
    <t>8719497482887</t>
  </si>
  <si>
    <t>8719497482788</t>
  </si>
  <si>
    <t>8719497482795</t>
  </si>
  <si>
    <t>8719497482740</t>
  </si>
  <si>
    <t>8719497482757</t>
  </si>
  <si>
    <t>8719497482764</t>
  </si>
  <si>
    <t>8719497482818</t>
  </si>
  <si>
    <t>8719497482870</t>
  </si>
  <si>
    <t>8719497482900</t>
  </si>
  <si>
    <t>8719497482917</t>
  </si>
  <si>
    <t>8719497483082</t>
  </si>
  <si>
    <t>8719497483099</t>
  </si>
  <si>
    <t>8719497483143</t>
  </si>
  <si>
    <t>8719497483150</t>
  </si>
  <si>
    <t>8719497483167</t>
  </si>
  <si>
    <t>8719497483174</t>
  </si>
  <si>
    <t>8719497483198</t>
  </si>
  <si>
    <t>8719497483204</t>
  </si>
  <si>
    <t>8719497483211</t>
  </si>
  <si>
    <t>8719497483235</t>
  </si>
  <si>
    <t>8719497483242</t>
  </si>
  <si>
    <t>8719497483273</t>
  </si>
  <si>
    <t>8719497483266</t>
  </si>
  <si>
    <t>8719497483372</t>
  </si>
  <si>
    <t>8719497483389</t>
  </si>
  <si>
    <t>8719497483396</t>
  </si>
  <si>
    <t>8719497482825</t>
  </si>
  <si>
    <t>0680306234011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</si>
</sst>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name val="Calibri"/>
    </font>
    <font>
      <sz val="11"/>
      <name val="Calibri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3" fontId="2" fillId="0" borderId="0" xfId="1" applyFont="1" applyFill="1" applyBorder="1"/>
    <xf numFmtId="0" fontId="3" fillId="0" borderId="0" xfId="0" applyFont="1" applyFill="1" applyBorder="1"/>
    <xf numFmtId="49" fontId="3" fillId="0" borderId="0" xfId="0" applyNumberFormat="1" applyFont="1" applyFill="1" applyBorder="1" applyAlignment="1">
      <alignment horizontal="center"/>
    </xf>
    <xf numFmtId="9" fontId="3" fillId="0" borderId="0" xfId="0" applyNumberFormat="1" applyFont="1" applyFill="1" applyBorder="1"/>
    <xf numFmtId="43" fontId="3" fillId="0" borderId="0" xfId="0" applyNumberFormat="1" applyFont="1" applyFill="1" applyBorder="1"/>
    <xf numFmtId="43" fontId="3" fillId="0" borderId="0" xfId="1" applyFont="1" applyFill="1" applyBorder="1"/>
    <xf numFmtId="10" fontId="3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quotePrefix="1" applyNumberFormat="1" applyFont="1" applyFill="1" applyBorder="1" applyAlignment="1">
      <alignment horizontal="center"/>
    </xf>
    <xf numFmtId="49" fontId="3" fillId="0" borderId="0" xfId="0" quotePrefix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F384-4903-43A0-AE15-386E03DEF499}">
  <dimension ref="A1:P39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H33" sqref="H33"/>
    </sheetView>
  </sheetViews>
  <sheetFormatPr defaultColWidth="8.77734375" defaultRowHeight="13.8"/>
  <cols>
    <col min="1" max="1" width="5.21875" style="10" bestFit="1" customWidth="1"/>
    <col min="2" max="2" width="38" style="4" bestFit="1" customWidth="1"/>
    <col min="3" max="3" width="14.6640625" style="10" bestFit="1" customWidth="1"/>
    <col min="4" max="4" width="10" style="4" bestFit="1" customWidth="1"/>
    <col min="5" max="5" width="14.5546875" style="4" bestFit="1" customWidth="1"/>
    <col min="6" max="6" width="13.6640625" style="4" bestFit="1" customWidth="1"/>
    <col min="7" max="7" width="13.77734375" style="4" bestFit="1" customWidth="1"/>
    <col min="8" max="8" width="13.33203125" style="4" bestFit="1" customWidth="1"/>
    <col min="9" max="9" width="8.109375" style="4" bestFit="1" customWidth="1"/>
    <col min="10" max="10" width="8" style="4" bestFit="1" customWidth="1"/>
    <col min="11" max="11" width="7.6640625" style="4" bestFit="1" customWidth="1"/>
    <col min="12" max="12" width="12.44140625" style="4" bestFit="1" customWidth="1"/>
    <col min="13" max="13" width="15" style="4" bestFit="1" customWidth="1"/>
    <col min="14" max="14" width="8.33203125" style="8" bestFit="1" customWidth="1"/>
    <col min="15" max="15" width="8.77734375" style="4" bestFit="1" customWidth="1"/>
    <col min="16" max="16384" width="8.77734375" style="4"/>
  </cols>
  <sheetData>
    <row r="1" spans="1:16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spans="1:16">
      <c r="A2" s="10">
        <v>194</v>
      </c>
      <c r="B2" s="4" t="s">
        <v>27</v>
      </c>
      <c r="C2" s="12" t="s">
        <v>65</v>
      </c>
      <c r="D2" s="4">
        <v>20</v>
      </c>
      <c r="E2" s="4">
        <v>104</v>
      </c>
      <c r="F2" s="6">
        <v>0.09</v>
      </c>
      <c r="G2" s="6">
        <v>0.09</v>
      </c>
      <c r="H2" s="6">
        <v>0.18</v>
      </c>
      <c r="I2" s="7">
        <f>$M2*F2</f>
        <v>22.652542372881356</v>
      </c>
      <c r="J2" s="7">
        <f>$M2*G2</f>
        <v>22.652542372881356</v>
      </c>
      <c r="K2" s="7">
        <f>$M2*H2</f>
        <v>45.305084745762713</v>
      </c>
      <c r="L2" s="7">
        <f>M2+N2</f>
        <v>297</v>
      </c>
      <c r="M2" s="7">
        <v>251.69491525423732</v>
      </c>
      <c r="N2" s="8">
        <f>K2</f>
        <v>45.305084745762713</v>
      </c>
      <c r="O2" s="7">
        <v>396</v>
      </c>
      <c r="P2" s="7"/>
    </row>
    <row r="3" spans="1:16">
      <c r="A3" s="10">
        <v>195</v>
      </c>
      <c r="B3" s="4" t="s">
        <v>35</v>
      </c>
      <c r="C3" s="5" t="s">
        <v>72</v>
      </c>
      <c r="D3" s="4">
        <v>20</v>
      </c>
      <c r="E3" s="4">
        <v>104</v>
      </c>
      <c r="F3" s="6">
        <v>0.09</v>
      </c>
      <c r="G3" s="6">
        <v>0.09</v>
      </c>
      <c r="H3" s="6">
        <v>0.18</v>
      </c>
      <c r="I3" s="7">
        <f>$M3*F3</f>
        <v>24.311440677966097</v>
      </c>
      <c r="J3" s="7">
        <f>$M3*G3</f>
        <v>24.311440677966097</v>
      </c>
      <c r="K3" s="7">
        <f>$M3*H3</f>
        <v>48.622881355932194</v>
      </c>
      <c r="L3" s="7">
        <f>M3+N3</f>
        <v>318.74999999999994</v>
      </c>
      <c r="M3" s="7">
        <v>270.12711864406776</v>
      </c>
      <c r="N3" s="8">
        <f>K3</f>
        <v>48.622881355932194</v>
      </c>
      <c r="O3" s="7">
        <v>424.99999999999994</v>
      </c>
      <c r="P3" s="7"/>
    </row>
    <row r="4" spans="1:16">
      <c r="A4" s="10">
        <v>196</v>
      </c>
      <c r="B4" s="4" t="s">
        <v>37</v>
      </c>
      <c r="C4" s="5" t="s">
        <v>73</v>
      </c>
      <c r="D4" s="4">
        <v>20</v>
      </c>
      <c r="E4" s="4">
        <v>104</v>
      </c>
      <c r="F4" s="6">
        <v>0.09</v>
      </c>
      <c r="G4" s="6">
        <v>0.09</v>
      </c>
      <c r="H4" s="6">
        <v>0.18</v>
      </c>
      <c r="I4" s="7">
        <f>$M4*F4</f>
        <v>12.584745762711865</v>
      </c>
      <c r="J4" s="7">
        <f>$M4*G4</f>
        <v>12.584745762711865</v>
      </c>
      <c r="K4" s="7">
        <f>$M4*H4</f>
        <v>25.16949152542373</v>
      </c>
      <c r="L4" s="7">
        <f>M4+N4</f>
        <v>165</v>
      </c>
      <c r="M4" s="7">
        <v>139.83050847457628</v>
      </c>
      <c r="N4" s="8">
        <f>K4</f>
        <v>25.16949152542373</v>
      </c>
      <c r="O4" s="7">
        <v>220</v>
      </c>
      <c r="P4" s="7"/>
    </row>
    <row r="5" spans="1:16">
      <c r="A5" s="10">
        <v>197</v>
      </c>
      <c r="B5" s="4" t="s">
        <v>40</v>
      </c>
      <c r="C5" s="5" t="s">
        <v>76</v>
      </c>
      <c r="D5" s="4">
        <v>20</v>
      </c>
      <c r="E5" s="4">
        <v>104</v>
      </c>
      <c r="F5" s="6">
        <v>0.09</v>
      </c>
      <c r="G5" s="6">
        <v>0.09</v>
      </c>
      <c r="H5" s="6">
        <v>0.18</v>
      </c>
      <c r="I5" s="7">
        <f>$M5*F5</f>
        <v>8.8665254237288131</v>
      </c>
      <c r="J5" s="7">
        <f>$M5*G5</f>
        <v>8.8665254237288131</v>
      </c>
      <c r="K5" s="7">
        <f>$M5*H5</f>
        <v>17.733050847457626</v>
      </c>
      <c r="L5" s="7">
        <f>M5+N5</f>
        <v>116.25</v>
      </c>
      <c r="M5" s="7">
        <v>98.516949152542381</v>
      </c>
      <c r="N5" s="8">
        <f>K5</f>
        <v>17.733050847457626</v>
      </c>
      <c r="O5" s="7">
        <v>155</v>
      </c>
      <c r="P5" s="7"/>
    </row>
    <row r="6" spans="1:16">
      <c r="A6" s="10">
        <v>198</v>
      </c>
      <c r="B6" s="4" t="s">
        <v>42</v>
      </c>
      <c r="C6" s="5" t="s">
        <v>78</v>
      </c>
      <c r="D6" s="4">
        <v>20</v>
      </c>
      <c r="E6" s="4">
        <v>104</v>
      </c>
      <c r="F6" s="6">
        <v>0.09</v>
      </c>
      <c r="G6" s="6">
        <v>0.09</v>
      </c>
      <c r="H6" s="6">
        <v>0.18</v>
      </c>
      <c r="I6" s="7">
        <f>$M6*F6</f>
        <v>29.6885593220339</v>
      </c>
      <c r="J6" s="7">
        <f>$M6*G6</f>
        <v>29.6885593220339</v>
      </c>
      <c r="K6" s="7">
        <f>$M6*H6</f>
        <v>59.377118644067799</v>
      </c>
      <c r="L6" s="7">
        <f>M6+N6</f>
        <v>389.25000000000006</v>
      </c>
      <c r="M6" s="7">
        <v>329.87288135593224</v>
      </c>
      <c r="N6" s="8">
        <f>K6</f>
        <v>59.377118644067799</v>
      </c>
      <c r="O6" s="7">
        <v>519</v>
      </c>
      <c r="P6" s="7"/>
    </row>
    <row r="7" spans="1:16">
      <c r="A7" s="10">
        <v>199</v>
      </c>
      <c r="B7" s="4" t="s">
        <v>43</v>
      </c>
      <c r="C7" s="5" t="s">
        <v>79</v>
      </c>
      <c r="D7" s="4">
        <v>20</v>
      </c>
      <c r="E7" s="4">
        <v>104</v>
      </c>
      <c r="F7" s="6">
        <v>0.09</v>
      </c>
      <c r="G7" s="6">
        <v>0.09</v>
      </c>
      <c r="H7" s="6">
        <v>0.18</v>
      </c>
      <c r="I7" s="7">
        <f>$M7*F7</f>
        <v>20.593220338983048</v>
      </c>
      <c r="J7" s="7">
        <f>$M7*G7</f>
        <v>20.593220338983048</v>
      </c>
      <c r="K7" s="7">
        <f>$M7*H7</f>
        <v>41.186440677966097</v>
      </c>
      <c r="L7" s="7">
        <f>M7+N7</f>
        <v>270</v>
      </c>
      <c r="M7" s="7">
        <v>228.81355932203388</v>
      </c>
      <c r="N7" s="8">
        <f>K7</f>
        <v>41.186440677966097</v>
      </c>
      <c r="O7" s="7">
        <v>360</v>
      </c>
      <c r="P7" s="7"/>
    </row>
    <row r="8" spans="1:16">
      <c r="A8" s="10">
        <v>200</v>
      </c>
      <c r="B8" s="4" t="s">
        <v>44</v>
      </c>
      <c r="C8" s="5" t="s">
        <v>80</v>
      </c>
      <c r="D8" s="4">
        <v>20</v>
      </c>
      <c r="E8" s="4">
        <v>104</v>
      </c>
      <c r="F8" s="6">
        <v>0.09</v>
      </c>
      <c r="G8" s="6">
        <v>0.09</v>
      </c>
      <c r="H8" s="6">
        <v>0.18</v>
      </c>
      <c r="I8" s="7">
        <f>$M8*F8</f>
        <v>32.033898305084747</v>
      </c>
      <c r="J8" s="7">
        <f>$M8*G8</f>
        <v>32.033898305084747</v>
      </c>
      <c r="K8" s="7">
        <f>$M8*H8</f>
        <v>64.067796610169495</v>
      </c>
      <c r="L8" s="7">
        <f>M8+N8</f>
        <v>420</v>
      </c>
      <c r="M8" s="7">
        <v>355.93220338983053</v>
      </c>
      <c r="N8" s="8">
        <f>K8</f>
        <v>64.067796610169495</v>
      </c>
      <c r="O8" s="7">
        <v>560</v>
      </c>
      <c r="P8" s="7"/>
    </row>
    <row r="9" spans="1:16">
      <c r="A9" s="10">
        <v>201</v>
      </c>
      <c r="B9" s="4" t="s">
        <v>45</v>
      </c>
      <c r="C9" s="5" t="s">
        <v>81</v>
      </c>
      <c r="D9" s="4">
        <v>20</v>
      </c>
      <c r="E9" s="4">
        <v>104</v>
      </c>
      <c r="F9" s="6">
        <v>0.09</v>
      </c>
      <c r="G9" s="6">
        <v>0.09</v>
      </c>
      <c r="H9" s="6">
        <v>0.18</v>
      </c>
      <c r="I9" s="7">
        <f>$M9*F9</f>
        <v>20.593220338983048</v>
      </c>
      <c r="J9" s="7">
        <f>$M9*G9</f>
        <v>20.593220338983048</v>
      </c>
      <c r="K9" s="7">
        <f>$M9*H9</f>
        <v>41.186440677966097</v>
      </c>
      <c r="L9" s="7">
        <f>M9+N9</f>
        <v>270</v>
      </c>
      <c r="M9" s="7">
        <v>228.81355932203388</v>
      </c>
      <c r="N9" s="8">
        <f>K9</f>
        <v>41.186440677966097</v>
      </c>
      <c r="O9" s="7">
        <v>360</v>
      </c>
      <c r="P9" s="7"/>
    </row>
    <row r="10" spans="1:16">
      <c r="A10" s="10">
        <v>202</v>
      </c>
      <c r="B10" s="4" t="s">
        <v>46</v>
      </c>
      <c r="C10" s="5" t="s">
        <v>82</v>
      </c>
      <c r="D10" s="4">
        <v>20</v>
      </c>
      <c r="E10" s="4">
        <v>104</v>
      </c>
      <c r="F10" s="6">
        <v>0.09</v>
      </c>
      <c r="G10" s="6">
        <v>0.09</v>
      </c>
      <c r="H10" s="6">
        <v>0.18</v>
      </c>
      <c r="I10" s="7">
        <f>$M10*F10</f>
        <v>23.739406779661017</v>
      </c>
      <c r="J10" s="7">
        <f>$M10*G10</f>
        <v>23.739406779661017</v>
      </c>
      <c r="K10" s="7">
        <f>$M10*H10</f>
        <v>47.478813559322035</v>
      </c>
      <c r="L10" s="7">
        <f>M10+N10</f>
        <v>311.25</v>
      </c>
      <c r="M10" s="7">
        <v>263.77118644067798</v>
      </c>
      <c r="N10" s="8">
        <f>K10</f>
        <v>47.478813559322035</v>
      </c>
      <c r="O10" s="7">
        <v>415</v>
      </c>
      <c r="P10" s="7"/>
    </row>
    <row r="11" spans="1:16">
      <c r="A11" s="10">
        <v>203</v>
      </c>
      <c r="B11" s="4" t="s">
        <v>47</v>
      </c>
      <c r="C11" s="5" t="s">
        <v>83</v>
      </c>
      <c r="D11" s="4">
        <v>20</v>
      </c>
      <c r="E11" s="4">
        <v>104</v>
      </c>
      <c r="F11" s="6">
        <v>0.09</v>
      </c>
      <c r="G11" s="6">
        <v>0.09</v>
      </c>
      <c r="H11" s="6">
        <v>0.18</v>
      </c>
      <c r="I11" s="7">
        <f>$M11*F11</f>
        <v>144.15254237288136</v>
      </c>
      <c r="J11" s="7">
        <f>$M11*G11</f>
        <v>144.15254237288136</v>
      </c>
      <c r="K11" s="7">
        <f>$M11*H11</f>
        <v>288.30508474576271</v>
      </c>
      <c r="L11" s="7">
        <f>M11+N11</f>
        <v>1890</v>
      </c>
      <c r="M11" s="7">
        <v>1601.6949152542372</v>
      </c>
      <c r="N11" s="8">
        <f>K11</f>
        <v>288.30508474576271</v>
      </c>
      <c r="O11" s="7">
        <v>2520</v>
      </c>
      <c r="P11" s="7"/>
    </row>
    <row r="12" spans="1:16">
      <c r="A12" s="10">
        <v>204</v>
      </c>
      <c r="B12" s="4" t="s">
        <v>48</v>
      </c>
      <c r="C12" s="5" t="s">
        <v>84</v>
      </c>
      <c r="D12" s="4">
        <v>20</v>
      </c>
      <c r="E12" s="4">
        <v>104</v>
      </c>
      <c r="F12" s="6">
        <v>0.09</v>
      </c>
      <c r="G12" s="6">
        <v>0.09</v>
      </c>
      <c r="H12" s="6">
        <v>0.18</v>
      </c>
      <c r="I12" s="7">
        <f>$M12*F12</f>
        <v>16.016949152542374</v>
      </c>
      <c r="J12" s="7">
        <f>$M12*G12</f>
        <v>16.016949152542374</v>
      </c>
      <c r="K12" s="7">
        <f>$M12*H12</f>
        <v>32.033898305084747</v>
      </c>
      <c r="L12" s="7">
        <f>M12+N12</f>
        <v>210</v>
      </c>
      <c r="M12" s="7">
        <v>177.96610169491527</v>
      </c>
      <c r="N12" s="8">
        <f>K12</f>
        <v>32.033898305084747</v>
      </c>
      <c r="O12" s="7">
        <v>280</v>
      </c>
      <c r="P12" s="7"/>
    </row>
    <row r="13" spans="1:16">
      <c r="A13" s="10">
        <v>205</v>
      </c>
      <c r="B13" s="4" t="s">
        <v>15</v>
      </c>
      <c r="C13" s="11" t="s">
        <v>53</v>
      </c>
      <c r="D13" s="4">
        <v>20</v>
      </c>
      <c r="E13" s="4">
        <v>105</v>
      </c>
      <c r="F13" s="6">
        <v>0.09</v>
      </c>
      <c r="G13" s="6">
        <v>0.09</v>
      </c>
      <c r="H13" s="6">
        <v>0.18</v>
      </c>
      <c r="I13" s="7">
        <f>$M13*F13</f>
        <v>6.9216101694915242</v>
      </c>
      <c r="J13" s="7">
        <f>$M13*G13</f>
        <v>6.9216101694915242</v>
      </c>
      <c r="K13" s="7">
        <f>$M13*H13</f>
        <v>13.843220338983048</v>
      </c>
      <c r="L13" s="7">
        <f>M13+N13</f>
        <v>90.749999999999986</v>
      </c>
      <c r="M13" s="7">
        <v>76.906779661016941</v>
      </c>
      <c r="N13" s="8">
        <f>K13</f>
        <v>13.843220338983048</v>
      </c>
      <c r="O13" s="7">
        <v>120.99999999999999</v>
      </c>
      <c r="P13" s="7"/>
    </row>
    <row r="14" spans="1:16">
      <c r="A14" s="10">
        <v>206</v>
      </c>
      <c r="B14" s="4" t="s">
        <v>16</v>
      </c>
      <c r="C14" s="12" t="s">
        <v>54</v>
      </c>
      <c r="D14" s="4">
        <v>20</v>
      </c>
      <c r="E14" s="4">
        <v>105</v>
      </c>
      <c r="F14" s="6">
        <v>0.09</v>
      </c>
      <c r="G14" s="6">
        <v>0.09</v>
      </c>
      <c r="H14" s="6">
        <v>0.18</v>
      </c>
      <c r="I14" s="7">
        <f>$M14*F14</f>
        <v>15.158898305084747</v>
      </c>
      <c r="J14" s="7">
        <f>$M14*G14</f>
        <v>15.158898305084747</v>
      </c>
      <c r="K14" s="7">
        <f>$M14*H14</f>
        <v>30.317796610169495</v>
      </c>
      <c r="L14" s="7">
        <f>M14+N14</f>
        <v>198.75000000000003</v>
      </c>
      <c r="M14" s="7">
        <v>168.43220338983053</v>
      </c>
      <c r="N14" s="8">
        <f>K14</f>
        <v>30.317796610169495</v>
      </c>
      <c r="O14" s="7">
        <v>265</v>
      </c>
      <c r="P14" s="7"/>
    </row>
    <row r="15" spans="1:16">
      <c r="A15" s="10">
        <v>207</v>
      </c>
      <c r="B15" s="4" t="s">
        <v>17</v>
      </c>
      <c r="C15" s="12" t="s">
        <v>55</v>
      </c>
      <c r="D15" s="4">
        <v>20</v>
      </c>
      <c r="E15" s="4">
        <v>105</v>
      </c>
      <c r="F15" s="6">
        <v>0.09</v>
      </c>
      <c r="G15" s="6">
        <v>0.09</v>
      </c>
      <c r="H15" s="6">
        <v>0.18</v>
      </c>
      <c r="I15" s="7">
        <f>$M15*F15</f>
        <v>14.815677966101696</v>
      </c>
      <c r="J15" s="7">
        <f>$M15*G15</f>
        <v>14.815677966101696</v>
      </c>
      <c r="K15" s="7">
        <f>$M15*H15</f>
        <v>29.631355932203391</v>
      </c>
      <c r="L15" s="7">
        <f>M15+N15</f>
        <v>194.25</v>
      </c>
      <c r="M15" s="7">
        <v>164.61864406779662</v>
      </c>
      <c r="N15" s="8">
        <f>K15</f>
        <v>29.631355932203391</v>
      </c>
      <c r="O15" s="7">
        <v>259</v>
      </c>
      <c r="P15" s="7"/>
    </row>
    <row r="16" spans="1:16">
      <c r="A16" s="10">
        <v>208</v>
      </c>
      <c r="B16" s="4" t="s">
        <v>18</v>
      </c>
      <c r="C16" s="12" t="s">
        <v>56</v>
      </c>
      <c r="D16" s="4">
        <v>20</v>
      </c>
      <c r="E16" s="4">
        <v>105</v>
      </c>
      <c r="F16" s="6">
        <v>0.09</v>
      </c>
      <c r="G16" s="6">
        <v>0.09</v>
      </c>
      <c r="H16" s="6">
        <v>0.18</v>
      </c>
      <c r="I16" s="7">
        <f>$M16*F16</f>
        <v>14.243644067796613</v>
      </c>
      <c r="J16" s="7">
        <f>$M16*G16</f>
        <v>14.243644067796613</v>
      </c>
      <c r="K16" s="7">
        <f>$M16*H16</f>
        <v>28.487288135593225</v>
      </c>
      <c r="L16" s="7">
        <f>M16+N16</f>
        <v>186.75000000000003</v>
      </c>
      <c r="M16" s="7">
        <v>158.26271186440681</v>
      </c>
      <c r="N16" s="8">
        <f>K16</f>
        <v>28.487288135593225</v>
      </c>
      <c r="O16" s="7">
        <v>249</v>
      </c>
      <c r="P16" s="7"/>
    </row>
    <row r="17" spans="1:16">
      <c r="A17" s="10">
        <v>209</v>
      </c>
      <c r="B17" s="4" t="s">
        <v>36</v>
      </c>
      <c r="C17" s="5" t="s">
        <v>90</v>
      </c>
      <c r="D17" s="4">
        <v>20</v>
      </c>
      <c r="E17" s="4">
        <v>105</v>
      </c>
      <c r="F17" s="6">
        <v>0.09</v>
      </c>
      <c r="G17" s="6">
        <v>0.09</v>
      </c>
      <c r="H17" s="6">
        <v>0.18</v>
      </c>
      <c r="I17" s="7">
        <f>$M17*F17</f>
        <v>12.584745762711865</v>
      </c>
      <c r="J17" s="7">
        <f>$M17*G17</f>
        <v>12.584745762711865</v>
      </c>
      <c r="K17" s="7">
        <f>$M17*H17</f>
        <v>25.16949152542373</v>
      </c>
      <c r="L17" s="7">
        <f>M17+N17</f>
        <v>165</v>
      </c>
      <c r="M17" s="7">
        <v>139.83050847457628</v>
      </c>
      <c r="N17" s="8">
        <f>K17</f>
        <v>25.16949152542373</v>
      </c>
      <c r="O17" s="7">
        <v>220</v>
      </c>
      <c r="P17" s="7"/>
    </row>
    <row r="18" spans="1:16">
      <c r="A18" s="10">
        <v>210</v>
      </c>
      <c r="B18" s="4" t="s">
        <v>49</v>
      </c>
      <c r="C18" s="5" t="s">
        <v>85</v>
      </c>
      <c r="D18" s="4">
        <v>20</v>
      </c>
      <c r="E18" s="4">
        <v>105</v>
      </c>
      <c r="F18" s="6">
        <v>0.09</v>
      </c>
      <c r="G18" s="6">
        <v>0.09</v>
      </c>
      <c r="H18" s="6">
        <v>0.18</v>
      </c>
      <c r="I18" s="7">
        <f>$M18*F18</f>
        <v>10.010593220338983</v>
      </c>
      <c r="J18" s="7">
        <f>$M18*G18</f>
        <v>10.010593220338983</v>
      </c>
      <c r="K18" s="7">
        <f>$M18*H18</f>
        <v>20.021186440677965</v>
      </c>
      <c r="L18" s="7">
        <f>M18+N18</f>
        <v>131.25</v>
      </c>
      <c r="M18" s="7">
        <v>111.22881355932203</v>
      </c>
      <c r="N18" s="8">
        <f>K18</f>
        <v>20.021186440677965</v>
      </c>
      <c r="O18" s="7">
        <v>175</v>
      </c>
      <c r="P18" s="7"/>
    </row>
    <row r="19" spans="1:16">
      <c r="A19" s="10">
        <v>211</v>
      </c>
      <c r="B19" s="4" t="s">
        <v>19</v>
      </c>
      <c r="C19" s="12" t="s">
        <v>57</v>
      </c>
      <c r="D19" s="4">
        <v>20</v>
      </c>
      <c r="E19" s="4">
        <v>106</v>
      </c>
      <c r="F19" s="6">
        <v>0.09</v>
      </c>
      <c r="G19" s="6">
        <v>0.09</v>
      </c>
      <c r="H19" s="6">
        <v>0.18</v>
      </c>
      <c r="I19" s="7">
        <f>$M19*F19</f>
        <v>11.383474576271187</v>
      </c>
      <c r="J19" s="7">
        <f>$M19*G19</f>
        <v>11.383474576271187</v>
      </c>
      <c r="K19" s="7">
        <f>$M19*H19</f>
        <v>22.766949152542374</v>
      </c>
      <c r="L19" s="7">
        <f>M19+N19</f>
        <v>149.25</v>
      </c>
      <c r="M19" s="7">
        <v>126.48305084745763</v>
      </c>
      <c r="N19" s="8">
        <f>K19</f>
        <v>22.766949152542374</v>
      </c>
      <c r="O19" s="7">
        <v>199</v>
      </c>
      <c r="P19" s="7"/>
    </row>
    <row r="20" spans="1:16">
      <c r="A20" s="10">
        <v>212</v>
      </c>
      <c r="B20" s="4" t="s">
        <v>20</v>
      </c>
      <c r="C20" s="12" t="s">
        <v>58</v>
      </c>
      <c r="D20" s="4">
        <v>20</v>
      </c>
      <c r="E20" s="4">
        <v>106</v>
      </c>
      <c r="F20" s="6">
        <v>0.09</v>
      </c>
      <c r="G20" s="6">
        <v>0.09</v>
      </c>
      <c r="H20" s="6">
        <v>0.18</v>
      </c>
      <c r="I20" s="7">
        <f>$M20*F20</f>
        <v>12.584745762711865</v>
      </c>
      <c r="J20" s="7">
        <f>$M20*G20</f>
        <v>12.584745762711865</v>
      </c>
      <c r="K20" s="7">
        <f>$M20*H20</f>
        <v>25.16949152542373</v>
      </c>
      <c r="L20" s="7">
        <f>M20+N20</f>
        <v>165</v>
      </c>
      <c r="M20" s="7">
        <v>139.83050847457628</v>
      </c>
      <c r="N20" s="8">
        <f>K20</f>
        <v>25.16949152542373</v>
      </c>
      <c r="O20" s="7">
        <v>220</v>
      </c>
      <c r="P20" s="7"/>
    </row>
    <row r="21" spans="1:16">
      <c r="A21" s="10">
        <v>213</v>
      </c>
      <c r="B21" s="4" t="s">
        <v>21</v>
      </c>
      <c r="C21" s="12" t="s">
        <v>59</v>
      </c>
      <c r="D21" s="4">
        <v>20</v>
      </c>
      <c r="E21" s="4">
        <v>106</v>
      </c>
      <c r="F21" s="6">
        <v>0.09</v>
      </c>
      <c r="G21" s="6">
        <v>0.09</v>
      </c>
      <c r="H21" s="6">
        <v>0.18</v>
      </c>
      <c r="I21" s="7">
        <f>$M21*F21</f>
        <v>6.9216101694915242</v>
      </c>
      <c r="J21" s="7">
        <f>$M21*G21</f>
        <v>6.9216101694915242</v>
      </c>
      <c r="K21" s="7">
        <f>$M21*H21</f>
        <v>13.843220338983048</v>
      </c>
      <c r="L21" s="7">
        <f>M21+N21</f>
        <v>90.749999999999986</v>
      </c>
      <c r="M21" s="7">
        <v>76.906779661016941</v>
      </c>
      <c r="N21" s="8">
        <f>K21</f>
        <v>13.843220338983048</v>
      </c>
      <c r="O21" s="7">
        <v>120.99999999999999</v>
      </c>
      <c r="P21" s="7"/>
    </row>
    <row r="22" spans="1:16">
      <c r="A22" s="10">
        <v>214</v>
      </c>
      <c r="B22" s="4" t="s">
        <v>22</v>
      </c>
      <c r="C22" s="12" t="s">
        <v>60</v>
      </c>
      <c r="D22" s="4">
        <v>20</v>
      </c>
      <c r="E22" s="4">
        <v>106</v>
      </c>
      <c r="F22" s="6">
        <v>0.09</v>
      </c>
      <c r="G22" s="6">
        <v>0.09</v>
      </c>
      <c r="H22" s="6">
        <v>0.18</v>
      </c>
      <c r="I22" s="7">
        <f>$M22*F22</f>
        <v>17.103813559322035</v>
      </c>
      <c r="J22" s="7">
        <f>$M22*G22</f>
        <v>17.103813559322035</v>
      </c>
      <c r="K22" s="7">
        <f>$M22*H22</f>
        <v>34.207627118644069</v>
      </c>
      <c r="L22" s="7">
        <f>M22+N22</f>
        <v>224.25000000000003</v>
      </c>
      <c r="M22" s="7">
        <v>190.04237288135596</v>
      </c>
      <c r="N22" s="8">
        <f>K22</f>
        <v>34.207627118644069</v>
      </c>
      <c r="O22" s="7">
        <v>299</v>
      </c>
      <c r="P22" s="7"/>
    </row>
    <row r="23" spans="1:16">
      <c r="A23" s="10">
        <v>215</v>
      </c>
      <c r="B23" s="4" t="s">
        <v>23</v>
      </c>
      <c r="C23" s="12" t="s">
        <v>61</v>
      </c>
      <c r="D23" s="4">
        <v>20</v>
      </c>
      <c r="E23" s="4">
        <v>106</v>
      </c>
      <c r="F23" s="6">
        <v>0.09</v>
      </c>
      <c r="G23" s="6">
        <v>0.09</v>
      </c>
      <c r="H23" s="6">
        <v>0.18</v>
      </c>
      <c r="I23" s="7">
        <f>$M23*F23</f>
        <v>30.889830508474574</v>
      </c>
      <c r="J23" s="7">
        <f>$M23*G23</f>
        <v>30.889830508474574</v>
      </c>
      <c r="K23" s="7">
        <f>$M23*H23</f>
        <v>61.779661016949149</v>
      </c>
      <c r="L23" s="7">
        <f>M23+N23</f>
        <v>405</v>
      </c>
      <c r="M23" s="7">
        <v>343.22033898305085</v>
      </c>
      <c r="N23" s="8">
        <f>K23</f>
        <v>61.779661016949149</v>
      </c>
      <c r="O23" s="7">
        <v>540</v>
      </c>
      <c r="P23" s="7"/>
    </row>
    <row r="24" spans="1:16">
      <c r="A24" s="10">
        <v>216</v>
      </c>
      <c r="B24" s="4" t="s">
        <v>24</v>
      </c>
      <c r="C24" s="12" t="s">
        <v>62</v>
      </c>
      <c r="D24" s="4">
        <v>20</v>
      </c>
      <c r="E24" s="4">
        <v>106</v>
      </c>
      <c r="F24" s="6">
        <v>0.09</v>
      </c>
      <c r="G24" s="6">
        <v>0.09</v>
      </c>
      <c r="H24" s="6">
        <v>0.18</v>
      </c>
      <c r="I24" s="7">
        <f>$M24*F24</f>
        <v>12.584745762711865</v>
      </c>
      <c r="J24" s="7">
        <f>$M24*G24</f>
        <v>12.584745762711865</v>
      </c>
      <c r="K24" s="7">
        <f>$M24*H24</f>
        <v>25.16949152542373</v>
      </c>
      <c r="L24" s="7">
        <f>M24+N24</f>
        <v>165</v>
      </c>
      <c r="M24" s="7">
        <v>139.83050847457628</v>
      </c>
      <c r="N24" s="8">
        <f>K24</f>
        <v>25.16949152542373</v>
      </c>
      <c r="O24" s="7">
        <v>220</v>
      </c>
      <c r="P24" s="7"/>
    </row>
    <row r="25" spans="1:16">
      <c r="A25" s="10">
        <v>217</v>
      </c>
      <c r="B25" s="4" t="s">
        <v>25</v>
      </c>
      <c r="C25" s="12" t="s">
        <v>63</v>
      </c>
      <c r="D25" s="4">
        <v>20</v>
      </c>
      <c r="E25" s="4">
        <v>106</v>
      </c>
      <c r="F25" s="6">
        <v>0.09</v>
      </c>
      <c r="G25" s="6">
        <v>0.09</v>
      </c>
      <c r="H25" s="6">
        <v>0.18</v>
      </c>
      <c r="I25" s="7">
        <f>$M25*F25</f>
        <v>80.59957627118645</v>
      </c>
      <c r="J25" s="7">
        <f>$M25*G25</f>
        <v>80.59957627118645</v>
      </c>
      <c r="K25" s="7">
        <f>$M25*H25</f>
        <v>161.1991525423729</v>
      </c>
      <c r="L25" s="7">
        <f>M25+N25</f>
        <v>1056.7500000000002</v>
      </c>
      <c r="M25" s="7">
        <v>895.55084745762724</v>
      </c>
      <c r="N25" s="8">
        <f>K25</f>
        <v>161.1991525423729</v>
      </c>
      <c r="O25" s="7">
        <v>1409</v>
      </c>
      <c r="P25" s="7"/>
    </row>
    <row r="26" spans="1:16">
      <c r="A26" s="10">
        <v>218</v>
      </c>
      <c r="B26" s="4" t="s">
        <v>26</v>
      </c>
      <c r="C26" s="12" t="s">
        <v>64</v>
      </c>
      <c r="D26" s="4">
        <v>20</v>
      </c>
      <c r="E26" s="4">
        <v>106</v>
      </c>
      <c r="F26" s="6">
        <v>0.09</v>
      </c>
      <c r="G26" s="6">
        <v>0.09</v>
      </c>
      <c r="H26" s="6">
        <v>0.18</v>
      </c>
      <c r="I26" s="7">
        <f>$M26*F26</f>
        <v>17.103813559322035</v>
      </c>
      <c r="J26" s="7">
        <f>$M26*G26</f>
        <v>17.103813559322035</v>
      </c>
      <c r="K26" s="7">
        <f>$M26*H26</f>
        <v>34.207627118644069</v>
      </c>
      <c r="L26" s="7">
        <f>M26+N26</f>
        <v>224.25000000000003</v>
      </c>
      <c r="M26" s="7">
        <v>190.04237288135596</v>
      </c>
      <c r="N26" s="8">
        <f>K26</f>
        <v>34.207627118644069</v>
      </c>
      <c r="O26" s="7">
        <v>299</v>
      </c>
      <c r="P26" s="7"/>
    </row>
    <row r="27" spans="1:16">
      <c r="A27" s="10">
        <v>219</v>
      </c>
      <c r="B27" s="4" t="s">
        <v>31</v>
      </c>
      <c r="C27" s="12" t="s">
        <v>69</v>
      </c>
      <c r="D27" s="4">
        <v>20</v>
      </c>
      <c r="E27" s="4">
        <v>106</v>
      </c>
      <c r="F27" s="6">
        <v>0.09</v>
      </c>
      <c r="G27" s="6">
        <v>0.09</v>
      </c>
      <c r="H27" s="6">
        <v>0.18</v>
      </c>
      <c r="I27" s="7">
        <f>$M27*F27</f>
        <v>19.96398305084746</v>
      </c>
      <c r="J27" s="7">
        <f>$M27*G27</f>
        <v>19.96398305084746</v>
      </c>
      <c r="K27" s="7">
        <f>$M27*H27</f>
        <v>39.927966101694921</v>
      </c>
      <c r="L27" s="7">
        <f>M27+N27</f>
        <v>261.75</v>
      </c>
      <c r="M27" s="7">
        <v>221.82203389830511</v>
      </c>
      <c r="N27" s="8">
        <f>K27</f>
        <v>39.927966101694921</v>
      </c>
      <c r="O27" s="7">
        <v>349</v>
      </c>
      <c r="P27" s="7"/>
    </row>
    <row r="28" spans="1:16">
      <c r="A28" s="10">
        <v>220</v>
      </c>
      <c r="B28" s="4" t="s">
        <v>33</v>
      </c>
      <c r="C28" s="5" t="s">
        <v>70</v>
      </c>
      <c r="D28" s="4">
        <v>20</v>
      </c>
      <c r="E28" s="4">
        <v>106</v>
      </c>
      <c r="F28" s="6">
        <v>0.09</v>
      </c>
      <c r="G28" s="6">
        <v>0.09</v>
      </c>
      <c r="H28" s="6">
        <v>0.18</v>
      </c>
      <c r="I28" s="7">
        <f>$M28*F28</f>
        <v>17.103813559322035</v>
      </c>
      <c r="J28" s="7">
        <f>$M28*G28</f>
        <v>17.103813559322035</v>
      </c>
      <c r="K28" s="7">
        <f>$M28*H28</f>
        <v>34.207627118644069</v>
      </c>
      <c r="L28" s="7">
        <f>M28+N28</f>
        <v>224.25000000000003</v>
      </c>
      <c r="M28" s="7">
        <v>190.04237288135596</v>
      </c>
      <c r="N28" s="8">
        <f>K28</f>
        <v>34.207627118644069</v>
      </c>
      <c r="O28" s="7">
        <v>299</v>
      </c>
      <c r="P28" s="7"/>
    </row>
    <row r="29" spans="1:16">
      <c r="A29" s="10">
        <v>221</v>
      </c>
      <c r="B29" s="4" t="s">
        <v>34</v>
      </c>
      <c r="C29" s="5" t="s">
        <v>71</v>
      </c>
      <c r="D29" s="4">
        <v>20</v>
      </c>
      <c r="E29" s="4">
        <v>106</v>
      </c>
      <c r="F29" s="6">
        <v>0.09</v>
      </c>
      <c r="G29" s="6">
        <v>0.09</v>
      </c>
      <c r="H29" s="6">
        <v>0.18</v>
      </c>
      <c r="I29" s="7">
        <f>$M29*F29</f>
        <v>28.54449152542373</v>
      </c>
      <c r="J29" s="7">
        <f>$M29*G29</f>
        <v>28.54449152542373</v>
      </c>
      <c r="K29" s="7">
        <f>$M29*H29</f>
        <v>57.08898305084746</v>
      </c>
      <c r="L29" s="7">
        <f>M29+N29</f>
        <v>374.25</v>
      </c>
      <c r="M29" s="7">
        <v>317.16101694915255</v>
      </c>
      <c r="N29" s="8">
        <f>K29</f>
        <v>57.08898305084746</v>
      </c>
      <c r="O29" s="7">
        <v>499</v>
      </c>
      <c r="P29" s="7"/>
    </row>
    <row r="30" spans="1:16">
      <c r="A30" s="10">
        <v>222</v>
      </c>
      <c r="B30" s="4" t="s">
        <v>38</v>
      </c>
      <c r="C30" s="5" t="s">
        <v>74</v>
      </c>
      <c r="D30" s="4">
        <v>20</v>
      </c>
      <c r="E30" s="4">
        <v>106</v>
      </c>
      <c r="F30" s="6">
        <v>0.09</v>
      </c>
      <c r="G30" s="6">
        <v>0.09</v>
      </c>
      <c r="H30" s="6">
        <v>0.18</v>
      </c>
      <c r="I30" s="7">
        <f>$M30*F30</f>
        <v>1.201271186440678</v>
      </c>
      <c r="J30" s="7">
        <f>$M30*G30</f>
        <v>1.201271186440678</v>
      </c>
      <c r="K30" s="7">
        <f>$M30*H30</f>
        <v>2.402542372881356</v>
      </c>
      <c r="L30" s="7">
        <f>M30+N30</f>
        <v>15.75</v>
      </c>
      <c r="M30" s="7">
        <v>13.347457627118644</v>
      </c>
      <c r="N30" s="8">
        <f>K30</f>
        <v>2.402542372881356</v>
      </c>
      <c r="O30" s="7">
        <v>21</v>
      </c>
      <c r="P30" s="7"/>
    </row>
    <row r="31" spans="1:16">
      <c r="A31" s="10">
        <v>223</v>
      </c>
      <c r="B31" s="4" t="s">
        <v>39</v>
      </c>
      <c r="C31" s="5" t="s">
        <v>75</v>
      </c>
      <c r="D31" s="4">
        <v>20</v>
      </c>
      <c r="E31" s="4">
        <v>106</v>
      </c>
      <c r="F31" s="6">
        <v>0.09</v>
      </c>
      <c r="G31" s="6">
        <v>0.09</v>
      </c>
      <c r="H31" s="6">
        <v>0.18</v>
      </c>
      <c r="I31" s="7">
        <f>$M31*F31</f>
        <v>4.5190677966101696</v>
      </c>
      <c r="J31" s="7">
        <f>$M31*G31</f>
        <v>4.5190677966101696</v>
      </c>
      <c r="K31" s="7">
        <f>$M31*H31</f>
        <v>9.0381355932203391</v>
      </c>
      <c r="L31" s="7">
        <f>M31+N31</f>
        <v>59.250000000000007</v>
      </c>
      <c r="M31" s="7">
        <v>50.211864406779668</v>
      </c>
      <c r="N31" s="8">
        <f>K31</f>
        <v>9.0381355932203391</v>
      </c>
      <c r="O31" s="7">
        <v>79</v>
      </c>
      <c r="P31" s="7"/>
    </row>
    <row r="32" spans="1:16">
      <c r="A32" s="10">
        <v>224</v>
      </c>
      <c r="B32" s="4" t="s">
        <v>41</v>
      </c>
      <c r="C32" s="12" t="s">
        <v>77</v>
      </c>
      <c r="D32" s="4">
        <v>20</v>
      </c>
      <c r="E32" s="4">
        <v>106</v>
      </c>
      <c r="F32" s="6">
        <v>0.09</v>
      </c>
      <c r="G32" s="6">
        <v>0.09</v>
      </c>
      <c r="H32" s="6">
        <v>0.18</v>
      </c>
      <c r="I32" s="7">
        <f>$M32*F32</f>
        <v>19.96398305084746</v>
      </c>
      <c r="J32" s="7">
        <f>$M32*G32</f>
        <v>19.96398305084746</v>
      </c>
      <c r="K32" s="7">
        <f>$M32*H32</f>
        <v>39.927966101694921</v>
      </c>
      <c r="L32" s="7">
        <f>M32+N32</f>
        <v>261.75</v>
      </c>
      <c r="M32" s="7">
        <v>221.82203389830511</v>
      </c>
      <c r="N32" s="8">
        <f>K32</f>
        <v>39.927966101694921</v>
      </c>
      <c r="O32" s="7">
        <v>349</v>
      </c>
      <c r="P32" s="7"/>
    </row>
    <row r="33" spans="1:16">
      <c r="A33" s="10">
        <v>225</v>
      </c>
      <c r="B33" s="4" t="s">
        <v>50</v>
      </c>
      <c r="C33" s="5" t="s">
        <v>86</v>
      </c>
      <c r="D33" s="4">
        <v>20</v>
      </c>
      <c r="E33" s="4">
        <v>106</v>
      </c>
      <c r="F33" s="6">
        <v>0.09</v>
      </c>
      <c r="G33" s="6">
        <v>0.09</v>
      </c>
      <c r="H33" s="6">
        <v>0.18</v>
      </c>
      <c r="I33" s="7">
        <f>$M33*F33</f>
        <v>19.96398305084746</v>
      </c>
      <c r="J33" s="7">
        <f>$M33*G33</f>
        <v>19.96398305084746</v>
      </c>
      <c r="K33" s="7">
        <f>$M33*H33</f>
        <v>39.927966101694921</v>
      </c>
      <c r="L33" s="7">
        <f>M33+N33</f>
        <v>261.75</v>
      </c>
      <c r="M33" s="7">
        <v>221.82203389830511</v>
      </c>
      <c r="N33" s="8">
        <f>K33</f>
        <v>39.927966101694921</v>
      </c>
      <c r="O33" s="7">
        <v>349</v>
      </c>
      <c r="P33" s="7"/>
    </row>
    <row r="34" spans="1:16">
      <c r="A34" s="10">
        <v>226</v>
      </c>
      <c r="B34" s="4" t="s">
        <v>51</v>
      </c>
      <c r="C34" s="5" t="s">
        <v>87</v>
      </c>
      <c r="D34" s="4">
        <v>20</v>
      </c>
      <c r="E34" s="4">
        <v>106</v>
      </c>
      <c r="F34" s="6">
        <v>0.09</v>
      </c>
      <c r="G34" s="6">
        <v>0.09</v>
      </c>
      <c r="H34" s="6">
        <v>0.18</v>
      </c>
      <c r="I34" s="7">
        <f>$M34*F34</f>
        <v>19.96398305084746</v>
      </c>
      <c r="J34" s="7">
        <f>$M34*G34</f>
        <v>19.96398305084746</v>
      </c>
      <c r="K34" s="7">
        <f>$M34*H34</f>
        <v>39.927966101694921</v>
      </c>
      <c r="L34" s="7">
        <f>M34+N34</f>
        <v>261.75</v>
      </c>
      <c r="M34" s="7">
        <v>221.82203389830511</v>
      </c>
      <c r="N34" s="8">
        <f>K34</f>
        <v>39.927966101694921</v>
      </c>
      <c r="O34" s="7">
        <v>349</v>
      </c>
      <c r="P34" s="7"/>
    </row>
    <row r="35" spans="1:16">
      <c r="A35" s="10">
        <v>227</v>
      </c>
      <c r="B35" s="4" t="s">
        <v>52</v>
      </c>
      <c r="C35" s="5" t="s">
        <v>88</v>
      </c>
      <c r="D35" s="4">
        <v>20</v>
      </c>
      <c r="E35" s="4">
        <v>106</v>
      </c>
      <c r="F35" s="6">
        <v>0.09</v>
      </c>
      <c r="G35" s="6">
        <v>0.09</v>
      </c>
      <c r="H35" s="6">
        <v>0.18</v>
      </c>
      <c r="I35" s="7">
        <f>$M35*F35</f>
        <v>19.96398305084746</v>
      </c>
      <c r="J35" s="7">
        <f>$M35*G35</f>
        <v>19.96398305084746</v>
      </c>
      <c r="K35" s="7">
        <f>$M35*H35</f>
        <v>39.927966101694921</v>
      </c>
      <c r="L35" s="7">
        <f>M35+N35</f>
        <v>261.75</v>
      </c>
      <c r="M35" s="7">
        <v>221.82203389830511</v>
      </c>
      <c r="N35" s="8">
        <f>K35</f>
        <v>39.927966101694921</v>
      </c>
      <c r="O35" s="7">
        <v>349</v>
      </c>
      <c r="P35" s="7"/>
    </row>
    <row r="36" spans="1:16">
      <c r="A36" s="10">
        <v>228</v>
      </c>
      <c r="B36" s="4" t="s">
        <v>28</v>
      </c>
      <c r="C36" s="12" t="s">
        <v>66</v>
      </c>
      <c r="D36" s="4">
        <v>20</v>
      </c>
      <c r="E36" s="4">
        <v>107</v>
      </c>
      <c r="F36" s="9">
        <v>2.5000000000000001E-2</v>
      </c>
      <c r="G36" s="9">
        <v>2.5000000000000001E-2</v>
      </c>
      <c r="H36" s="6">
        <v>0.05</v>
      </c>
      <c r="I36" s="7">
        <f>$M36*F36</f>
        <v>2.5892857142857149</v>
      </c>
      <c r="J36" s="7">
        <f>$M36*G36</f>
        <v>2.5892857142857149</v>
      </c>
      <c r="K36" s="7">
        <f>$M36*H36</f>
        <v>5.1785714285714297</v>
      </c>
      <c r="L36" s="7">
        <f>M36+N36</f>
        <v>108.75000000000001</v>
      </c>
      <c r="M36" s="7">
        <v>103.57142857142858</v>
      </c>
      <c r="N36" s="8">
        <f>K36</f>
        <v>5.1785714285714297</v>
      </c>
      <c r="O36" s="7">
        <v>145</v>
      </c>
      <c r="P36" s="7"/>
    </row>
    <row r="37" spans="1:16">
      <c r="A37" s="10">
        <v>229</v>
      </c>
      <c r="B37" s="4" t="s">
        <v>29</v>
      </c>
      <c r="C37" s="12" t="s">
        <v>67</v>
      </c>
      <c r="D37" s="4">
        <v>20</v>
      </c>
      <c r="E37" s="4">
        <v>107</v>
      </c>
      <c r="F37" s="9">
        <v>2.5000000000000001E-2</v>
      </c>
      <c r="G37" s="9">
        <v>2.5000000000000001E-2</v>
      </c>
      <c r="H37" s="6">
        <v>0.05</v>
      </c>
      <c r="I37" s="7">
        <f>$M37*F37</f>
        <v>3.9285714285714288</v>
      </c>
      <c r="J37" s="7">
        <f>$M37*G37</f>
        <v>3.9285714285714288</v>
      </c>
      <c r="K37" s="7">
        <f>$M37*H37</f>
        <v>7.8571428571428577</v>
      </c>
      <c r="L37" s="7">
        <f>M37+N37</f>
        <v>165</v>
      </c>
      <c r="M37" s="7">
        <v>157.14285714285714</v>
      </c>
      <c r="N37" s="8">
        <f>K37</f>
        <v>7.8571428571428577</v>
      </c>
      <c r="O37" s="7">
        <v>220</v>
      </c>
      <c r="P37" s="7"/>
    </row>
    <row r="38" spans="1:16">
      <c r="A38" s="10">
        <v>230</v>
      </c>
      <c r="B38" s="4" t="s">
        <v>30</v>
      </c>
      <c r="C38" s="12" t="s">
        <v>68</v>
      </c>
      <c r="D38" s="4">
        <v>20</v>
      </c>
      <c r="E38" s="4">
        <v>107</v>
      </c>
      <c r="F38" s="9">
        <v>2.5000000000000001E-2</v>
      </c>
      <c r="G38" s="9">
        <v>2.5000000000000001E-2</v>
      </c>
      <c r="H38" s="6">
        <v>0.05</v>
      </c>
      <c r="I38" s="7">
        <f>$M38*F38</f>
        <v>6.9642857142857144</v>
      </c>
      <c r="J38" s="7">
        <f>$M38*G38</f>
        <v>6.9642857142857144</v>
      </c>
      <c r="K38" s="7">
        <f>$M38*H38</f>
        <v>13.928571428571429</v>
      </c>
      <c r="L38" s="7">
        <f>M38+N38</f>
        <v>292.5</v>
      </c>
      <c r="M38" s="7">
        <v>278.57142857142856</v>
      </c>
      <c r="N38" s="8">
        <f>K38</f>
        <v>13.928571428571429</v>
      </c>
      <c r="O38" s="7">
        <v>390</v>
      </c>
      <c r="P38" s="7"/>
    </row>
    <row r="39" spans="1:16">
      <c r="A39" s="10">
        <v>231</v>
      </c>
      <c r="B39" s="4" t="s">
        <v>32</v>
      </c>
      <c r="C39" s="12" t="s">
        <v>89</v>
      </c>
      <c r="D39" s="4">
        <v>20</v>
      </c>
      <c r="E39" s="4">
        <v>107</v>
      </c>
      <c r="F39" s="9">
        <v>2.5000000000000001E-2</v>
      </c>
      <c r="G39" s="9">
        <v>2.5000000000000001E-2</v>
      </c>
      <c r="H39" s="6">
        <v>0.05</v>
      </c>
      <c r="I39" s="7">
        <f>$M39*F39</f>
        <v>3.3928571428571423</v>
      </c>
      <c r="J39" s="7">
        <f>$M39*G39</f>
        <v>3.3928571428571423</v>
      </c>
      <c r="K39" s="7">
        <f>$M39*H39</f>
        <v>6.7857142857142847</v>
      </c>
      <c r="L39" s="7">
        <f>M39+N39</f>
        <v>142.49999999999997</v>
      </c>
      <c r="M39" s="7">
        <v>135.71428571428569</v>
      </c>
      <c r="N39" s="8">
        <f>K39</f>
        <v>6.7857142857142847</v>
      </c>
      <c r="O39" s="7">
        <v>190</v>
      </c>
      <c r="P39" s="7"/>
    </row>
  </sheetData>
  <sortState xmlns:xlrd2="http://schemas.microsoft.com/office/spreadsheetml/2017/richdata2" ref="A2:O39">
    <sortCondition ref="E6:E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V</dc:creator>
  <cp:lastModifiedBy>ASHUTOSH SANDIP JADHAV</cp:lastModifiedBy>
  <dcterms:created xsi:type="dcterms:W3CDTF">2025-11-29T10:04:05Z</dcterms:created>
  <dcterms:modified xsi:type="dcterms:W3CDTF">2025-12-09T11:14:23Z</dcterms:modified>
</cp:coreProperties>
</file>